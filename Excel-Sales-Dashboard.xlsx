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macbook/Desktop/"/>
    </mc:Choice>
  </mc:AlternateContent>
  <xr:revisionPtr revIDLastSave="0" documentId="8_{70668C38-8C8F-CA43-B2AF-E693E57E506B}" xr6:coauthVersionLast="47" xr6:coauthVersionMax="47" xr10:uidLastSave="{00000000-0000-0000-0000-000000000000}"/>
  <bookViews>
    <workbookView xWindow="0" yWindow="500" windowWidth="28800" windowHeight="17500" activeTab="1" xr2:uid="{4C6BA0ED-1048-F647-92D4-90B64C17639A}"/>
  </bookViews>
  <sheets>
    <sheet name="Sales_Pivot" sheetId="21" r:id="rId1"/>
    <sheet name="Dashboard" sheetId="22" r:id="rId2"/>
    <sheet name="Sales_Data_2" sheetId="20" r:id="rId3"/>
    <sheet name="Region_Target" sheetId="15" r:id="rId4"/>
  </sheets>
  <definedNames>
    <definedName name="B">#REF!</definedName>
    <definedName name="Clean_Name">#REF!</definedName>
    <definedName name="ExternalData_1" localSheetId="2" hidden="1">Sales_Data_2!$A$1:$O$11</definedName>
    <definedName name="Slicer_Region">#N/A</definedName>
  </definedNames>
  <calcPr calcId="191029"/>
  <pivotCaches>
    <pivotCache cacheId="6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2" l="1"/>
  <c r="H4" i="22"/>
  <c r="D4" i="22"/>
  <c r="B4" i="22"/>
  <c r="G3" i="20"/>
  <c r="G4" i="20"/>
  <c r="G5" i="20"/>
  <c r="G6" i="20"/>
  <c r="G7" i="20"/>
  <c r="G8" i="20"/>
  <c r="G9" i="20"/>
  <c r="G10" i="20"/>
  <c r="G11" i="20"/>
  <c r="G2" i="20"/>
  <c r="T3" i="20"/>
  <c r="T4" i="20"/>
  <c r="T5" i="20"/>
  <c r="T6" i="20"/>
  <c r="T7" i="20"/>
  <c r="T8" i="20"/>
  <c r="T9" i="20"/>
  <c r="T10" i="20"/>
  <c r="T11" i="20"/>
  <c r="S3" i="20"/>
  <c r="S4" i="20"/>
  <c r="S5" i="20"/>
  <c r="S6" i="20"/>
  <c r="S7" i="20"/>
  <c r="S8" i="20"/>
  <c r="S9" i="20"/>
  <c r="S10" i="20"/>
  <c r="S11" i="20"/>
  <c r="T2" i="20"/>
  <c r="S2" i="20"/>
  <c r="R3" i="20" a="1"/>
  <c r="R3" i="20" s="1"/>
  <c r="R4" i="20" a="1"/>
  <c r="R4" i="20" s="1"/>
  <c r="R5" i="20" a="1"/>
  <c r="R5" i="20" s="1"/>
  <c r="R6" i="20" a="1"/>
  <c r="R6" i="20" s="1"/>
  <c r="R7" i="20" a="1"/>
  <c r="R7" i="20" s="1"/>
  <c r="R8" i="20" a="1"/>
  <c r="R8" i="20" s="1"/>
  <c r="R9" i="20" a="1"/>
  <c r="R9" i="20" s="1"/>
  <c r="R10" i="20" a="1"/>
  <c r="R10" i="20" s="1"/>
  <c r="R11" i="20" a="1"/>
  <c r="R11" i="20" s="1"/>
  <c r="R2" i="20" a="1"/>
  <c r="R2" i="20" s="1"/>
  <c r="Q3" i="20"/>
  <c r="Q4" i="20"/>
  <c r="Q5" i="20"/>
  <c r="Q6" i="20"/>
  <c r="Q7" i="20"/>
  <c r="Q8" i="20"/>
  <c r="Q9" i="20"/>
  <c r="Q10" i="20"/>
  <c r="Q11" i="20"/>
  <c r="Q2" i="20"/>
  <c r="P3" i="20"/>
  <c r="P4" i="20"/>
  <c r="P5" i="20"/>
  <c r="P6" i="20"/>
  <c r="P7" i="20"/>
  <c r="P8" i="20"/>
  <c r="P9" i="20"/>
  <c r="P10" i="20"/>
  <c r="P11" i="20"/>
  <c r="P2" i="20"/>
  <c r="O3" i="20"/>
  <c r="O4" i="20"/>
  <c r="O5" i="20"/>
  <c r="O6" i="20"/>
  <c r="O7" i="20"/>
  <c r="O8" i="20"/>
  <c r="O9" i="20"/>
  <c r="O10" i="20"/>
  <c r="O11" i="20"/>
  <c r="O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CD23A4-D766-DB4D-A4DD-2C03AA323911}" keepAlive="1" name="Query - Sales_Data_2" description="Connection to the 'Sales_Data_2' query in the workbook." type="5" refreshedVersion="8" background="1" saveData="1">
    <dbPr connection="Provider=Microsoft.Mashup.OleDb.1;Data Source=$Workbook$;Location=Sales_Data_2;Extended Properties=&quot;&quot;" command="SELECT * FROM [Sales_Data_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<sst xmlns="http://schemas.openxmlformats.org/spreadsheetml/2006/main" count="140" uniqueCount="66">
  <si>
    <t>Ali Khan</t>
  </si>
  <si>
    <t>sara ahmed</t>
  </si>
  <si>
    <t>AHMED RAZA</t>
  </si>
  <si>
    <t>Zara Malik</t>
  </si>
  <si>
    <t>Usman Ali</t>
  </si>
  <si>
    <t>Hina Baig</t>
  </si>
  <si>
    <t>OK</t>
  </si>
  <si>
    <t>Sara Ahmed</t>
  </si>
  <si>
    <t>Ahmed Raza</t>
  </si>
  <si>
    <t>Missing</t>
  </si>
  <si>
    <t xml:space="preserve">Order_ID </t>
  </si>
  <si>
    <t>Sales</t>
  </si>
  <si>
    <t>Date</t>
  </si>
  <si>
    <t>Region</t>
  </si>
  <si>
    <t>Product</t>
  </si>
  <si>
    <t>North</t>
  </si>
  <si>
    <t>Laptop</t>
  </si>
  <si>
    <t>South</t>
  </si>
  <si>
    <t>Phone</t>
  </si>
  <si>
    <t>East</t>
  </si>
  <si>
    <t>Tablet</t>
  </si>
  <si>
    <t>West</t>
  </si>
  <si>
    <t xml:space="preserve"> Sales_Rep  </t>
  </si>
  <si>
    <t>Target</t>
  </si>
  <si>
    <t>Clean_Rep</t>
  </si>
  <si>
    <t>Clean_Region</t>
  </si>
  <si>
    <t>Sales_Status</t>
  </si>
  <si>
    <t>Rep_Status</t>
  </si>
  <si>
    <t>Product_Status</t>
  </si>
  <si>
    <t>Region_Target</t>
  </si>
  <si>
    <t>Region_Sales_Count</t>
  </si>
  <si>
    <t>NORTH</t>
  </si>
  <si>
    <t>15/01/2024</t>
  </si>
  <si>
    <t>SOUTH</t>
  </si>
  <si>
    <t>20/01/2024</t>
  </si>
  <si>
    <t>05/02/2024</t>
  </si>
  <si>
    <t>EAST</t>
  </si>
  <si>
    <t>ali khan</t>
  </si>
  <si>
    <t>10/02/2024</t>
  </si>
  <si>
    <t>15/02/2024</t>
  </si>
  <si>
    <t>20/02/2024</t>
  </si>
  <si>
    <t>WEST</t>
  </si>
  <si>
    <t>10/03/2024</t>
  </si>
  <si>
    <t>15/03/2024</t>
  </si>
  <si>
    <t>Region_Total_Sales</t>
  </si>
  <si>
    <t>Region_Avg_Sales</t>
  </si>
  <si>
    <t>Sales_Level</t>
  </si>
  <si>
    <t>Quarter</t>
  </si>
  <si>
    <t>Quality_check</t>
  </si>
  <si>
    <t>Duplicate_check</t>
  </si>
  <si>
    <t>Sum of Sales</t>
  </si>
  <si>
    <t>Row Labels</t>
  </si>
  <si>
    <t>Grand Total</t>
  </si>
  <si>
    <t xml:space="preserve">Count of Order_ID </t>
  </si>
  <si>
    <t>Column Labels</t>
  </si>
  <si>
    <t>Average of Sales</t>
  </si>
  <si>
    <t>Month</t>
  </si>
  <si>
    <t>Feb 2024</t>
  </si>
  <si>
    <t>Jan 2024</t>
  </si>
  <si>
    <t>Jun 2024</t>
  </si>
  <si>
    <t>Mar 2024</t>
  </si>
  <si>
    <t>SALES DASHBOARD 2024</t>
  </si>
  <si>
    <t>Total Sales</t>
  </si>
  <si>
    <t>Total Orders</t>
  </si>
  <si>
    <t>Avg Sale</t>
  </si>
  <si>
    <t>Top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</si>
</sst>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s&quot;#,##0"/>
  </numFmts>
  <fonts count="7" x14ac:knownFonts="1">
    <font>
      <sz val="12"/>
      <color theme="1"/>
      <name val="Calibri"/>
      <family val="2"/>
      <scheme val="minor"/>
    </font>
    <font>
      <sz val="9"/>
      <color rgb="FFC00000"/>
      <name val="Courier New"/>
      <family val="1"/>
    </font>
    <font>
      <sz val="14"/>
      <color rgb="FFC00000"/>
      <name val="Times New Roman"/>
      <family val="1"/>
    </font>
    <font>
      <sz val="12"/>
      <color rgb="FF14181F"/>
      <name val="Calibri"/>
      <family val="2"/>
      <scheme val="minor"/>
    </font>
    <font>
      <sz val="20"/>
      <color theme="0" tint="-4.9989318521683403E-2"/>
      <name val="Times New Roman"/>
      <family val="1"/>
    </font>
    <font>
      <sz val="12"/>
      <color theme="0" tint="-4.9989318521683403E-2"/>
      <name val="Calibri"/>
      <family val="2"/>
      <scheme val="minor"/>
    </font>
    <font>
      <b/>
      <sz val="14"/>
      <color theme="0"/>
      <name val="Times New Roman"/>
      <family val="1"/>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1" fillId="0" borderId="0" xfId="0" applyFont="1"/>
    <xf numFmtId="0" fontId="2" fillId="0" borderId="0" xfId="0" applyFont="1" applyAlignment="1">
      <alignment horizontal="left" vertical="center" indent="2"/>
    </xf>
    <xf numFmtId="0" fontId="0" fillId="0" borderId="0" xfId="0" pivotButton="1"/>
    <xf numFmtId="0" fontId="0" fillId="0" borderId="0" xfId="0" applyAlignment="1">
      <alignment horizontal="left"/>
    </xf>
    <xf numFmtId="0" fontId="3" fillId="0" borderId="0" xfId="0" applyFont="1"/>
    <xf numFmtId="0" fontId="4" fillId="2" borderId="0" xfId="0" applyFont="1" applyFill="1"/>
    <xf numFmtId="0" fontId="5" fillId="2" borderId="0" xfId="0" applyFont="1" applyFill="1"/>
    <xf numFmtId="0" fontId="0" fillId="3" borderId="0" xfId="0" applyFill="1"/>
    <xf numFmtId="0" fontId="5" fillId="0" borderId="0" xfId="0" applyFont="1" applyFill="1"/>
    <xf numFmtId="0" fontId="6" fillId="2" borderId="0" xfId="0" applyFont="1" applyFill="1" applyAlignment="1">
      <alignment horizontal="center" vertical="center"/>
    </xf>
    <xf numFmtId="164" fontId="6" fillId="2" borderId="0" xfId="0" applyNumberFormat="1" applyFont="1" applyFill="1" applyAlignment="1">
      <alignment horizontal="center" vertical="center"/>
    </xf>
    <xf numFmtId="0" fontId="0" fillId="0" borderId="0" xfId="0" applyNumberFormat="1"/>
  </cellXfs>
  <cellStyles count="1">
    <cellStyle name="Normal" xfId="0" builtinId="0"/>
  </cellStyles>
  <dxfs count="73">
    <dxf>
      <border>
        <left style="thin">
          <color rgb="FF9C0006"/>
        </left>
        <right style="thin">
          <color rgb="FF9C0006"/>
        </right>
        <top style="thin">
          <color rgb="FF9C0006"/>
        </top>
        <bottom style="thin">
          <color rgb="FF9C0006"/>
        </bottom>
      </border>
    </dxf>
    <dxf>
      <font>
        <color rgb="FF006100"/>
      </font>
      <fill>
        <patternFill>
          <bgColor rgb="FFC6EF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ill>
        <patternFill>
          <bgColor theme="4"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ill>
        <patternFill>
          <bgColor theme="4"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font>
        <strike val="0"/>
        <outline val="0"/>
        <shadow val="0"/>
        <u val="none"/>
        <vertAlign val="baseline"/>
        <sz val="12"/>
        <color rgb="FF14181F"/>
        <name val="Calibri"/>
        <family val="2"/>
        <scheme val="minor"/>
      </font>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[Excel-Sales-Dashboard.xlsx]Sales_Pivot!PivotTable9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Total Sales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9486111111111112"/>
          <c:w val="0.85219685039370074"/>
          <c:h val="0.72088764946048411"/>
        </c:manualLayout>
      </c:layout>
      <c:barChart>
        <c:barDir val="col"/>
        <c:grouping val="clustered"/>
        <c:varyColors val="0"/>
        <c:ser>
          <c:idx val="0"/>
          <c:order val="0"/>
          <c:tx>
            <c:strRef>
              <c:f>Sales_Pivot!$B$3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Sales_Pivot!$A$4:$A$8</c:f>
              <c:strCache>
                <c:ptCount val="4"/>
                <c:pt idx="0">
                  <c:v>North</c:v>
                </c:pt>
                <c:pt idx="1">
                  <c:v>South</c:v>
                </c:pt>
                <c:pt idx="2">
                  <c:v>East</c:v>
                </c:pt>
                <c:pt idx="3">
                  <c:v>West</c:v>
                </c:pt>
              </c:strCache>
            </c:strRef>
          </c:cat>
          <c:val>
            <c:numRef>
              <c:f>Sales_Pivot!$B$4:$B$8</c:f>
              <c:numCache>
                <c:formatCode>General</c:formatCode>
                <c:ptCount val="4"/>
                <c:pt idx="0">
                  <c:v>440000</c:v>
                </c:pt>
                <c:pt idx="1">
                  <c:v>345000</c:v>
                </c:pt>
                <c:pt idx="2">
                  <c:v>295000</c:v>
                </c:pt>
                <c:pt idx="3">
                  <c:v>60000</c:v>
                </c:pt>
              </c:numCache>
            </c:numRef>
          </c:val>
          <c:extLst>
            <c:ext xmlns:c16="http://schemas.microsoft.com/office/drawing/2014/chart" uri="{C3380CC4-5D6E-409C-BE32-E72D297353CC}">
              <c16:uniqueId val="{00000000-9C6E-424B-B5D3-C6CC66BF879E}"/>
            </c:ext>
          </c:extLst>
        </c:ser>
        <c:dLbls>
          <c:showLegendKey val="0"/>
          <c:showVal val="0"/>
          <c:showCatName val="0"/>
          <c:showSerName val="0"/>
          <c:showPercent val="0"/>
          <c:showBubbleSize val="0"/>
        </c:dLbls>
        <c:gapWidth val="219"/>
        <c:axId val="790058559"/>
        <c:axId val="719262479"/>
      </c:barChart>
      <c:catAx>
        <c:axId val="79005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19262479"/>
        <c:crosses val="autoZero"/>
        <c:auto val="1"/>
        <c:lblAlgn val="ctr"/>
        <c:lblOffset val="100"/>
        <c:noMultiLvlLbl val="0"/>
      </c:catAx>
      <c:valAx>
        <c:axId val="71926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9005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alpha val="92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[Excel-Sales-Dashboard.xlsx]Sales_Pivot!PivotTable10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Orders by Product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Sales_Pivot!$F$3</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Sales_Pivot!$E$4:$E$8</c:f>
              <c:strCache>
                <c:ptCount val="4"/>
                <c:pt idx="1">
                  <c:v>Laptop</c:v>
                </c:pt>
                <c:pt idx="2">
                  <c:v>Phone</c:v>
                </c:pt>
                <c:pt idx="3">
                  <c:v>Tablet</c:v>
                </c:pt>
              </c:strCache>
            </c:strRef>
          </c:cat>
          <c:val>
            <c:numRef>
              <c:f>Sales_Pivot!$F$4:$F$8</c:f>
              <c:numCache>
                <c:formatCode>General</c:formatCode>
                <c:ptCount val="4"/>
                <c:pt idx="0">
                  <c:v>1</c:v>
                </c:pt>
                <c:pt idx="1">
                  <c:v>4</c:v>
                </c:pt>
                <c:pt idx="2">
                  <c:v>3</c:v>
                </c:pt>
                <c:pt idx="3">
                  <c:v>2</c:v>
                </c:pt>
              </c:numCache>
            </c:numRef>
          </c:val>
          <c:extLst>
            <c:ext xmlns:c16="http://schemas.microsoft.com/office/drawing/2014/chart" uri="{C3380CC4-5D6E-409C-BE32-E72D297353CC}">
              <c16:uniqueId val="{00000000-5B31-C143-9F91-7074D109C053}"/>
            </c:ext>
          </c:extLst>
        </c:ser>
        <c:dLbls>
          <c:showLegendKey val="0"/>
          <c:showVal val="0"/>
          <c:showCatName val="0"/>
          <c:showSerName val="0"/>
          <c:showPercent val="0"/>
          <c:showBubbleSize val="0"/>
        </c:dLbls>
        <c:gapWidth val="219"/>
        <c:overlap val="100"/>
        <c:axId val="549161087"/>
        <c:axId val="548474239"/>
      </c:barChart>
      <c:catAx>
        <c:axId val="54916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48474239"/>
        <c:crosses val="autoZero"/>
        <c:auto val="1"/>
        <c:lblAlgn val="ctr"/>
        <c:lblOffset val="100"/>
        <c:noMultiLvlLbl val="0"/>
      </c:catAx>
      <c:valAx>
        <c:axId val="548474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4916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alpha val="89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[Excel-Sales-Dashboard.xlsx]Sales_Pivot!PivotTable13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4393518518518519"/>
          <c:w val="0.85219685039370074"/>
          <c:h val="0.72088764946048411"/>
        </c:manualLayout>
      </c:layout>
      <c:lineChart>
        <c:grouping val="standard"/>
        <c:varyColors val="0"/>
        <c:ser>
          <c:idx val="0"/>
          <c:order val="0"/>
          <c:tx>
            <c:strRef>
              <c:f>Sales_Pivot!$P$3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Sales_Pivot!$O$4:$O$8</c:f>
              <c:strCache>
                <c:ptCount val="4"/>
                <c:pt idx="0">
                  <c:v>Feb 2024</c:v>
                </c:pt>
                <c:pt idx="1">
                  <c:v>Jan 2024</c:v>
                </c:pt>
                <c:pt idx="2">
                  <c:v>Jun 2024</c:v>
                </c:pt>
                <c:pt idx="3">
                  <c:v>Mar 2024</c:v>
                </c:pt>
              </c:strCache>
            </c:strRef>
          </c:cat>
          <c:val>
            <c:numRef>
              <c:f>Sales_Pivot!$P$4:$P$8</c:f>
              <c:numCache>
                <c:formatCode>General</c:formatCode>
                <c:ptCount val="4"/>
                <c:pt idx="0">
                  <c:v>325000</c:v>
                </c:pt>
                <c:pt idx="1">
                  <c:v>425000</c:v>
                </c:pt>
                <c:pt idx="2">
                  <c:v>85000</c:v>
                </c:pt>
                <c:pt idx="3">
                  <c:v>305000</c:v>
                </c:pt>
              </c:numCache>
            </c:numRef>
          </c:val>
          <c:smooth val="0"/>
          <c:extLst>
            <c:ext xmlns:c16="http://schemas.microsoft.com/office/drawing/2014/chart" uri="{C3380CC4-5D6E-409C-BE32-E72D297353CC}">
              <c16:uniqueId val="{00000000-9AA6-5A48-AE4D-5ADBB6B80571}"/>
            </c:ext>
          </c:extLst>
        </c:ser>
        <c:dLbls>
          <c:showLegendKey val="0"/>
          <c:showVal val="0"/>
          <c:showCatName val="0"/>
          <c:showSerName val="0"/>
          <c:showPercent val="0"/>
          <c:showBubbleSize val="0"/>
        </c:dLbls>
        <c:marker val="1"/>
        <c:smooth val="0"/>
        <c:axId val="564652831"/>
        <c:axId val="67606943"/>
      </c:lineChart>
      <c:catAx>
        <c:axId val="56465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7606943"/>
        <c:crosses val="autoZero"/>
        <c:auto val="1"/>
        <c:lblAlgn val="ctr"/>
        <c:lblOffset val="100"/>
        <c:noMultiLvlLbl val="0"/>
      </c:catAx>
      <c:valAx>
        <c:axId val="67606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6465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alpha val="84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88900</xdr:colOff>
      <xdr:row>11</xdr:row>
      <xdr:rowOff>190500</xdr:rowOff>
    </xdr:from>
    <xdr:to>
      <xdr:col>2</xdr:col>
      <xdr:colOff>25400</xdr:colOff>
      <xdr:row>24</xdr:row>
      <xdr:rowOff>168272</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1CB98CB5-420E-40A4-5979-587625B0F7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900" y="2425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3</xdr:col>
      <xdr:colOff>711200</xdr:colOff>
      <xdr:row>15</xdr:row>
      <xdr:rowOff>38100</xdr:rowOff>
    </xdr:to>
    <xdr:graphicFrame macro="">
      <xdr:nvGraphicFramePr>
        <xdr:cNvPr id="2" name="Chart 1">
          <a:extLst>
            <a:ext uri="{FF2B5EF4-FFF2-40B4-BE49-F238E27FC236}">
              <a16:creationId xmlns:a16="http://schemas.microsoft.com/office/drawing/2014/main" id="{EA603E3E-657B-A74B-8E8B-4486A6C1A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50801</xdr:colOff>
      <xdr:row>5</xdr:row>
      <xdr:rowOff>0</xdr:rowOff>
    </xdr:from>
    <xdr:to>
      <xdr:col>7</xdr:col>
      <xdr:colOff>736601</xdr:colOff>
      <xdr:row>16</xdr:row>
      <xdr:rowOff>165100</xdr:rowOff>
    </xdr:to>
    <xdr:graphicFrame macro="">
      <xdr:nvGraphicFramePr>
        <xdr:cNvPr id="3" name="Chart 2">
          <a:extLst>
            <a:ext uri="{FF2B5EF4-FFF2-40B4-BE49-F238E27FC236}">
              <a16:creationId xmlns:a16="http://schemas.microsoft.com/office/drawing/2014/main" id="{5988208E-8A32-144B-A879-A08E70B13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0</xdr:rowOff>
    </xdr:from>
    <xdr:to>
      <xdr:col>7</xdr:col>
      <xdr:colOff>241300</xdr:colOff>
      <xdr:row>33</xdr:row>
      <xdr:rowOff>101600</xdr:rowOff>
    </xdr:to>
    <xdr:graphicFrame macro="">
      <xdr:nvGraphicFramePr>
        <xdr:cNvPr id="4" name="Chart 3">
          <a:extLst>
            <a:ext uri="{FF2B5EF4-FFF2-40B4-BE49-F238E27FC236}">
              <a16:creationId xmlns:a16="http://schemas.microsoft.com/office/drawing/2014/main" id="{48D59872-7CAF-0C43-A0D8-946ED29DF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BOOK" refreshedDate="46179.993939583335" createdVersion="8" refreshedVersion="8" minRefreshableVersion="3" recordCount="10" xr:uid="{EA245BD5-FAEA-EA41-A5FA-6A73FBF50F26}">
  <cacheSource type="worksheet">
    <worksheetSource name="Sales_Data_2"/>
  </cacheSource>
  <cacheFields count="21">
    <cacheField name="Order_ID " numFmtId="0">
      <sharedItems containsSemiMixedTypes="0" containsString="0" containsNumber="1" containsInteger="1" minValue="1" maxValue="10"/>
    </cacheField>
    <cacheField name=" Sales_Rep  " numFmtId="0">
      <sharedItems/>
    </cacheField>
    <cacheField name="Region" numFmtId="0">
      <sharedItems count="4">
        <s v="North"/>
        <s v="South"/>
        <s v="East"/>
        <s v="West"/>
      </sharedItems>
    </cacheField>
    <cacheField name="Product" numFmtId="0">
      <sharedItems count="4">
        <s v="Laptop"/>
        <s v="Phone"/>
        <s v="Tablet"/>
        <s v=""/>
      </sharedItems>
    </cacheField>
    <cacheField name="Sales" numFmtId="0">
      <sharedItems containsString="0" containsBlank="1" containsNumber="1" containsInteger="1" minValue="60000" maxValue="210000"/>
    </cacheField>
    <cacheField name="Date" numFmtId="0">
      <sharedItems containsDate="1" containsMixedTypes="1" minDate="2024-01-01T00:00:00" maxDate="2024-06-02T00:00:00" count="11">
        <d v="2024-01-01T00:00:00"/>
        <s v="15/01/2024"/>
        <s v="20/01/2024"/>
        <s v="05/02/2024"/>
        <s v="10/02/2024"/>
        <s v="15/02/2024"/>
        <s v="20/02/2024"/>
        <d v="2024-06-01T00:00:00"/>
        <s v="10/03/2024"/>
        <s v="15/03/2024"/>
        <s v="01/01/2024" u="1"/>
      </sharedItems>
      <fieldGroup par="20"/>
    </cacheField>
    <cacheField name="Month" numFmtId="0">
      <sharedItems count="4">
        <s v="Jan 2024"/>
        <s v="Feb 2024"/>
        <s v="Jun 2024"/>
        <s v="Mar 2024"/>
      </sharedItems>
    </cacheField>
    <cacheField name="Clean_Rep" numFmtId="0">
      <sharedItems/>
    </cacheField>
    <cacheField name="Clean_Region" numFmtId="0">
      <sharedItems/>
    </cacheField>
    <cacheField name="Sales_Status" numFmtId="0">
      <sharedItems containsMixedTypes="1" containsNumber="1" containsInteger="1" minValue="150000" maxValue="200000"/>
    </cacheField>
    <cacheField name="Rep_Status" numFmtId="0">
      <sharedItems/>
    </cacheField>
    <cacheField name="Product_Status" numFmtId="0">
      <sharedItems/>
    </cacheField>
    <cacheField name="Region_Target" numFmtId="0">
      <sharedItems containsSemiMixedTypes="0" containsString="0" containsNumber="1" containsInteger="1" minValue="200000" maxValue="400000"/>
    </cacheField>
    <cacheField name="Region_Sales_Count" numFmtId="0">
      <sharedItems containsSemiMixedTypes="0" containsString="0" containsNumber="1" containsInteger="1" minValue="1" maxValue="3"/>
    </cacheField>
    <cacheField name="Region_Total_Sales" numFmtId="0">
      <sharedItems containsSemiMixedTypes="0" containsString="0" containsNumber="1" containsInteger="1" minValue="60000" maxValue="440000"/>
    </cacheField>
    <cacheField name="Region_Avg_Sales" numFmtId="0">
      <sharedItems containsSemiMixedTypes="0" containsString="0" containsNumber="1" minValue="60000" maxValue="147500"/>
    </cacheField>
    <cacheField name="Sales_Level" numFmtId="0">
      <sharedItems/>
    </cacheField>
    <cacheField name="Quarter" numFmtId="0">
      <sharedItems/>
    </cacheField>
    <cacheField name="Quality_check" numFmtId="0">
      <sharedItems/>
    </cacheField>
    <cacheField name="Duplicate_check" numFmtId="0">
      <sharedItems/>
    </cacheField>
    <cacheField name="Date2" numFmtId="0" databaseField="0">
      <fieldGroup base="5">
        <discretePr count="11">
          <x v="1"/>
          <x v="0"/>
          <x v="0"/>
          <x v="0"/>
          <x v="0"/>
          <x v="0"/>
          <x v="0"/>
          <x v="0"/>
          <x v="0"/>
          <x v="0"/>
          <x v="0"/>
        </discretePr>
        <groupItems count="2">
          <s v="Group1"/>
          <d v="2024-01-01T00:00:00"/>
        </groupItems>
      </fieldGroup>
    </cacheField>
  </cacheFields>
  <extLst>
    <ext xmlns:x14="http://schemas.microsoft.com/office/spreadsheetml/2009/9/main" uri="{725AE2AE-9491-48be-B2B4-4EB974FC3084}">
      <x14:pivotCacheDefinition pivotCacheId="134322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Ali Khan"/>
    <x v="0"/>
    <x v="0"/>
    <n v="150000"/>
    <x v="0"/>
    <x v="0"/>
    <s v="Ali Khan"/>
    <s v="NORTH"/>
    <n v="150000"/>
    <s v="OK"/>
    <s v="OK"/>
    <n v="400000"/>
    <n v="3"/>
    <n v="440000"/>
    <n v="146666.66666666666"/>
    <s v="High"/>
    <s v="Q1"/>
    <s v="VALID"/>
    <s v="DUPLICATE!"/>
  </r>
  <r>
    <n v="2"/>
    <s v="sara ahmed"/>
    <x v="1"/>
    <x v="1"/>
    <n v="75000"/>
    <x v="1"/>
    <x v="0"/>
    <s v="Sara Ahmed"/>
    <s v="SOUTH"/>
    <s v="75000"/>
    <s v="OK"/>
    <s v="OK"/>
    <n v="300000"/>
    <n v="3"/>
    <n v="345000"/>
    <n v="115000"/>
    <s v="Medium"/>
    <s v="Q1"/>
    <s v="VALID"/>
    <s v="DUPLICATE!"/>
  </r>
  <r>
    <n v="3"/>
    <s v="AHMED RAZA"/>
    <x v="0"/>
    <x v="0"/>
    <n v="200000"/>
    <x v="2"/>
    <x v="0"/>
    <s v="Ahmed Raza"/>
    <s v="NORTH"/>
    <n v="200000"/>
    <s v="OK"/>
    <s v="OK"/>
    <n v="400000"/>
    <n v="3"/>
    <n v="440000"/>
    <n v="146666.66666666666"/>
    <s v="High"/>
    <s v="Q1"/>
    <s v="VALID"/>
    <s v="Unique"/>
  </r>
  <r>
    <n v="4"/>
    <s v="Zara Malik"/>
    <x v="2"/>
    <x v="2"/>
    <m/>
    <x v="3"/>
    <x v="1"/>
    <s v="Zara Malik"/>
    <s v="EAST"/>
    <s v="Missing"/>
    <s v="OK"/>
    <s v="OK"/>
    <n v="350000"/>
    <n v="3"/>
    <n v="295000"/>
    <n v="147500"/>
    <s v="Low"/>
    <s v="Q1"/>
    <s v="Not Number"/>
    <s v="DUPLICATE!"/>
  </r>
  <r>
    <n v="5"/>
    <s v="Ali Khan"/>
    <x v="0"/>
    <x v="1"/>
    <n v="90000"/>
    <x v="4"/>
    <x v="1"/>
    <s v="Ali Khan"/>
    <s v="NORTH"/>
    <s v="90000"/>
    <s v="OK"/>
    <s v="OK"/>
    <n v="400000"/>
    <n v="3"/>
    <n v="440000"/>
    <n v="146666.66666666666"/>
    <s v="Medium"/>
    <s v="Q1"/>
    <s v="VALID"/>
    <s v="DUPLICATE!"/>
  </r>
  <r>
    <n v="6"/>
    <s v=""/>
    <x v="1"/>
    <x v="0"/>
    <n v="175000"/>
    <x v="5"/>
    <x v="1"/>
    <s v=""/>
    <s v="SOUTH"/>
    <s v="175000"/>
    <s v="Missing"/>
    <s v="OK"/>
    <n v="300000"/>
    <n v="3"/>
    <n v="345000"/>
    <n v="115000"/>
    <s v="High"/>
    <s v="Q1"/>
    <s v="Missing Name"/>
    <s v="No Name"/>
  </r>
  <r>
    <n v="7"/>
    <s v="Usman Ali"/>
    <x v="3"/>
    <x v="2"/>
    <n v="60000"/>
    <x v="6"/>
    <x v="1"/>
    <s v="Usman Ali"/>
    <s v="WEST"/>
    <s v="60000"/>
    <s v="OK"/>
    <s v="OK"/>
    <n v="200000"/>
    <n v="1"/>
    <n v="60000"/>
    <n v="60000"/>
    <s v="Low"/>
    <s v="Q1"/>
    <s v="VALID"/>
    <s v="Unique"/>
  </r>
  <r>
    <n v="8"/>
    <s v="Hina Baig"/>
    <x v="2"/>
    <x v="1"/>
    <n v="85000"/>
    <x v="7"/>
    <x v="2"/>
    <s v="Hina Baig"/>
    <s v="EAST"/>
    <s v="85000"/>
    <s v="OK"/>
    <s v="OK"/>
    <n v="350000"/>
    <n v="3"/>
    <n v="295000"/>
    <n v="147500"/>
    <s v="Medium"/>
    <s v="Q2"/>
    <s v="VALID"/>
    <s v="Unique"/>
  </r>
  <r>
    <n v="9"/>
    <s v="Zara Malik"/>
    <x v="2"/>
    <x v="0"/>
    <n v="210000"/>
    <x v="8"/>
    <x v="3"/>
    <s v="Zara Malik"/>
    <s v="EAST"/>
    <s v="210000"/>
    <s v="OK"/>
    <s v="OK"/>
    <n v="350000"/>
    <n v="3"/>
    <n v="295000"/>
    <n v="147500"/>
    <s v="High"/>
    <s v="Q1"/>
    <s v="VALID"/>
    <s v="DUPLICATE!"/>
  </r>
  <r>
    <n v="10"/>
    <s v="sara ahmed"/>
    <x v="1"/>
    <x v="3"/>
    <n v="95000"/>
    <x v="9"/>
    <x v="3"/>
    <s v="Sara Ahmed"/>
    <s v="SOUTH"/>
    <s v="95000"/>
    <s v="OK"/>
    <s v="Missing"/>
    <n v="300000"/>
    <n v="3"/>
    <n v="345000"/>
    <n v="115000"/>
    <s v="Medium"/>
    <s v="Q1"/>
    <s v="Missing product"/>
    <s v="DUPLIC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1AF96-E2B1-0B45-967B-2E5EEE80E970}" name="PivotTable10"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8" firstHeaderRow="1" firstDataRow="1" firstDataCol="1"/>
  <pivotFields count="21">
    <pivotField dataField="1" showAll="0"/>
    <pivotField showAll="0"/>
    <pivotField showAll="0"/>
    <pivotField axis="axisRow" showAll="0">
      <items count="5">
        <item x="3"/>
        <item x="0"/>
        <item x="1"/>
        <item x="2"/>
        <item t="default"/>
      </items>
    </pivotField>
    <pivotField showAll="0"/>
    <pivotField showAll="0">
      <items count="12">
        <item m="1" x="10"/>
        <item x="3"/>
        <item x="4"/>
        <item x="8"/>
        <item x="1"/>
        <item x="5"/>
        <item x="9"/>
        <item x="2"/>
        <item x="6"/>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3"/>
  </rowFields>
  <rowItems count="5">
    <i>
      <x/>
    </i>
    <i>
      <x v="1"/>
    </i>
    <i>
      <x v="2"/>
    </i>
    <i>
      <x v="3"/>
    </i>
    <i t="grand">
      <x/>
    </i>
  </rowItems>
  <colItems count="1">
    <i/>
  </colItems>
  <dataFields count="1">
    <dataField name="Count of Order_ID "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9373B0-DB21-E646-8AD7-A039852F2751}"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1">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2">
        <item m="1" x="10"/>
        <item x="3"/>
        <item x="4"/>
        <item x="8"/>
        <item x="1"/>
        <item x="5"/>
        <item x="9"/>
        <item x="2"/>
        <item x="6"/>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2"/>
  </rowFields>
  <rowItems count="5">
    <i>
      <x v="1"/>
    </i>
    <i>
      <x v="2"/>
    </i>
    <i>
      <x/>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4D2FD-7B7F-7D4E-BA7B-E1EF3C8DF27A}" name="PivotTable1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3:P8" firstHeaderRow="1" firstDataRow="1" firstDataCol="1"/>
  <pivotFields count="21">
    <pivotField showAll="0"/>
    <pivotField showAll="0"/>
    <pivotField showAll="0"/>
    <pivotField showAll="0"/>
    <pivotField dataField="1" showAll="0"/>
    <pivotField showAll="0">
      <items count="12">
        <item m="1" x="10"/>
        <item x="3"/>
        <item x="4"/>
        <item x="8"/>
        <item x="1"/>
        <item x="5"/>
        <item x="9"/>
        <item x="2"/>
        <item x="6"/>
        <item x="7"/>
        <item x="0"/>
        <item t="default"/>
      </items>
    </pivotField>
    <pivotField axis="axisRow" showAll="0" sortType="ascending">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2">
        <item x="0"/>
        <item x="1"/>
      </items>
    </pivotField>
  </pivotFields>
  <rowFields count="1">
    <field x="6"/>
  </rowFields>
  <rowItems count="5">
    <i>
      <x/>
    </i>
    <i>
      <x v="1"/>
    </i>
    <i>
      <x v="2"/>
    </i>
    <i>
      <x v="3"/>
    </i>
    <i t="grand">
      <x/>
    </i>
  </rowItems>
  <colItems count="1">
    <i/>
  </colItems>
  <dataFields count="1">
    <dataField name="Sum of Sales" fld="4" baseField="0" baseItem="0"/>
  </dataFields>
  <chartFormats count="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486171-47F3-074B-AA81-2BF7E780E0F5}" name="PivotTable1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M9" firstHeaderRow="1" firstDataRow="2" firstDataCol="1"/>
  <pivotFields count="21">
    <pivotField showAll="0"/>
    <pivotField showAll="0"/>
    <pivotField axis="axisRow" showAll="0">
      <items count="5">
        <item x="2"/>
        <item x="0"/>
        <item x="1"/>
        <item x="3"/>
        <item t="default"/>
      </items>
    </pivotField>
    <pivotField axis="axisCol" showAll="0">
      <items count="5">
        <item x="3"/>
        <item x="0"/>
        <item x="1"/>
        <item x="2"/>
        <item t="default"/>
      </items>
    </pivotField>
    <pivotField dataField="1" showAll="0"/>
    <pivotField showAll="0">
      <items count="12">
        <item m="1" x="10"/>
        <item x="3"/>
        <item x="4"/>
        <item x="8"/>
        <item x="1"/>
        <item x="5"/>
        <item x="9"/>
        <item x="2"/>
        <item x="6"/>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2"/>
  </rowFields>
  <rowItems count="5">
    <i>
      <x/>
    </i>
    <i>
      <x v="1"/>
    </i>
    <i>
      <x v="2"/>
    </i>
    <i>
      <x v="3"/>
    </i>
    <i t="grand">
      <x/>
    </i>
  </rowItems>
  <colFields count="1">
    <field x="3"/>
  </colFields>
  <colItems count="5">
    <i>
      <x/>
    </i>
    <i>
      <x v="1"/>
    </i>
    <i>
      <x v="2"/>
    </i>
    <i>
      <x v="3"/>
    </i>
    <i t="grand">
      <x/>
    </i>
  </colItems>
  <dataFields count="1">
    <dataField name="Average of Sales"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8929CA-C174-6743-A94D-DCE9AA2045B4}" sourceName="Region">
  <pivotTables>
    <pivotTable tabId="21" name="PivotTable9"/>
  </pivotTables>
  <data>
    <tabular pivotCacheId="13432231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AD4EB2C-7E38-524E-A040-EA9D55852CC3}"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8CBAC8-B7BC-1B41-8A65-E4073A319A50}" name="Sales_Data_2" displayName="Sales_Data_2" ref="A1:T11" totalsRowShown="0">
  <autoFilter ref="A1:T11" xr:uid="{2B8CBAC8-B7BC-1B41-8A65-E4073A319A50}"/>
  <tableColumns count="20">
    <tableColumn id="1" xr3:uid="{DA29F919-39C3-FC4F-B337-7874CDFCE637}" name="Order_ID "/>
    <tableColumn id="2" xr3:uid="{6F8B9980-0A74-9444-8A8C-68B9849015D9}" name=" Sales_Rep  " dataDxfId="72"/>
    <tableColumn id="3" xr3:uid="{C3910235-B4C6-3C40-A56F-EC65097E3D73}" name="Region" dataDxfId="71"/>
    <tableColumn id="4" xr3:uid="{C5B32026-BB96-234A-B800-5440DB11B284}" name="Product" dataDxfId="70"/>
    <tableColumn id="5" xr3:uid="{3CB8ADC4-79C5-874F-8C63-E691EA306519}" name="Sales"/>
    <tableColumn id="6" xr3:uid="{76AA8974-7D1D-4440-ADC1-3005741C7FE5}" name="Date" dataDxfId="69"/>
    <tableColumn id="21" xr3:uid="{C5C3500F-C3B4-164D-AAB1-37DAE5E7D556}" name="Month" dataDxfId="68">
      <calculatedColumnFormula>TEXT(F2,"MMM YYYY")</calculatedColumnFormula>
    </tableColumn>
    <tableColumn id="7" xr3:uid="{08ACC2FD-5CD8-594E-9479-1AF4EA888257}" name="Clean_Rep" dataDxfId="67"/>
    <tableColumn id="8" xr3:uid="{B37B7855-EC64-5C47-8F9C-B7117660E8F7}" name="Clean_Region" dataDxfId="66"/>
    <tableColumn id="9" xr3:uid="{D65C4ED5-EF89-B948-988C-BF654B468011}" name="Sales_Status"/>
    <tableColumn id="10" xr3:uid="{C151A9E1-5D44-C047-A154-878137ED920B}" name="Rep_Status" dataDxfId="65"/>
    <tableColumn id="11" xr3:uid="{D8FE4D1E-6432-EC42-BFBE-96CD57813951}" name="Product_Status" dataDxfId="64"/>
    <tableColumn id="12" xr3:uid="{27447BB6-D041-BB4A-A0C0-C1FB3F803C7D}" name="Region_Target"/>
    <tableColumn id="13" xr3:uid="{0C5097A3-B3F9-B541-AF1C-0432C7B29DF2}" name="Region_Sales_Count"/>
    <tableColumn id="14" xr3:uid="{4BDC3912-38AC-F94B-B2B2-D387F36D7D3A}" name="Region_Total_Sales"/>
    <tableColumn id="15" xr3:uid="{F44A9BEE-D31F-9A40-9728-B7E4428392DB}" name="Region_Avg_Sales">
      <calculatedColumnFormula>AVERAGEIF($C$2:$C$11,C2,$E$2:$E$11)</calculatedColumnFormula>
    </tableColumn>
    <tableColumn id="16" xr3:uid="{EDACE86D-35F9-1248-9A7E-E4833EC35343}" name="Sales_Level">
      <calculatedColumnFormula>IF(E2&gt;=150000, "High", IF(E2&gt;=75000, "Medium", "Low"))</calculatedColumnFormula>
    </tableColumn>
    <tableColumn id="17" xr3:uid="{D3378AFE-0929-574F-A4D8-58729DAC67C4}" name="Quarter">
      <calculatedColumnFormula array="1">_xlfn.IFS(MONTH(F2)&lt;=3,"Q1",MONTH(F2)&lt;=6,"Q2",MONTH(F2)&lt;=9,"Q3",MONTH(F2)&lt;=12,"Q4")</calculatedColumnFormula>
    </tableColumn>
    <tableColumn id="18" xr3:uid="{7F58B2AD-EA07-D24D-B05A-2AC469F399F0}" name="Quality_check">
      <calculatedColumnFormula>IF(B2="","Missing Name",IF(C2="","Missing Region",IF(D2="","Missing product",IF(ISNUMBER(E2)=FALSE,"Not Number",IF(E2&lt;0,"Negative Value!",IF(E2&gt;1000000,"Too High!",IF(F2="","Missing Date","VALID")))))))</calculatedColumnFormula>
    </tableColumn>
    <tableColumn id="19" xr3:uid="{2AA48676-C9E2-5440-9369-08D1D4EDFB26}" name="Duplicate_check">
      <calculatedColumnFormula>IF(B2="","No Name",IF(COUNTIF($B$2:$B$11,B2)&gt;1,"DUPLICATE!","Unique"))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4A931-9636-8748-85A1-D101636F1FA4}">
  <dimension ref="A3:P9"/>
  <sheetViews>
    <sheetView topLeftCell="A2" zoomScaleNormal="100" workbookViewId="0">
      <selection activeCell="A3" sqref="A3"/>
    </sheetView>
  </sheetViews>
  <sheetFormatPr baseColWidth="10" defaultRowHeight="16" x14ac:dyDescent="0.2"/>
  <cols>
    <col min="1" max="1" width="13" bestFit="1" customWidth="1"/>
    <col min="2" max="2" width="11.83203125" bestFit="1" customWidth="1"/>
    <col min="5" max="5" width="13" bestFit="1" customWidth="1"/>
    <col min="6" max="6" width="16.6640625" bestFit="1" customWidth="1"/>
    <col min="8" max="8" width="15" bestFit="1" customWidth="1"/>
    <col min="9" max="9" width="15.83203125" bestFit="1" customWidth="1"/>
    <col min="10" max="10" width="7.6640625" bestFit="1" customWidth="1"/>
    <col min="11" max="11" width="13" bestFit="1" customWidth="1"/>
    <col min="12" max="12" width="6.5" bestFit="1" customWidth="1"/>
    <col min="13" max="13" width="13" bestFit="1" customWidth="1"/>
    <col min="15" max="15" width="13" bestFit="1" customWidth="1"/>
    <col min="16" max="16" width="11.83203125" bestFit="1" customWidth="1"/>
    <col min="17" max="17" width="13.5" bestFit="1" customWidth="1"/>
    <col min="19" max="19" width="14.1640625" bestFit="1" customWidth="1"/>
  </cols>
  <sheetData>
    <row r="3" spans="1:16" x14ac:dyDescent="0.2">
      <c r="A3" s="4" t="s">
        <v>51</v>
      </c>
      <c r="B3" t="s">
        <v>50</v>
      </c>
      <c r="E3" s="4" t="s">
        <v>51</v>
      </c>
      <c r="F3" t="s">
        <v>53</v>
      </c>
      <c r="H3" s="4" t="s">
        <v>55</v>
      </c>
      <c r="I3" s="4" t="s">
        <v>54</v>
      </c>
      <c r="O3" s="4" t="s">
        <v>51</v>
      </c>
      <c r="P3" t="s">
        <v>50</v>
      </c>
    </row>
    <row r="4" spans="1:16" x14ac:dyDescent="0.2">
      <c r="A4" s="5" t="s">
        <v>15</v>
      </c>
      <c r="B4" s="13">
        <v>440000</v>
      </c>
      <c r="E4" s="5"/>
      <c r="F4">
        <v>1</v>
      </c>
      <c r="H4" s="4" t="s">
        <v>51</v>
      </c>
      <c r="J4" t="s">
        <v>16</v>
      </c>
      <c r="K4" t="s">
        <v>18</v>
      </c>
      <c r="L4" t="s">
        <v>20</v>
      </c>
      <c r="M4" t="s">
        <v>52</v>
      </c>
      <c r="O4" s="5" t="s">
        <v>57</v>
      </c>
      <c r="P4">
        <v>325000</v>
      </c>
    </row>
    <row r="5" spans="1:16" x14ac:dyDescent="0.2">
      <c r="A5" s="5" t="s">
        <v>17</v>
      </c>
      <c r="B5" s="13">
        <v>345000</v>
      </c>
      <c r="E5" s="5" t="s">
        <v>16</v>
      </c>
      <c r="F5">
        <v>4</v>
      </c>
      <c r="H5" s="5" t="s">
        <v>19</v>
      </c>
      <c r="J5">
        <v>210000</v>
      </c>
      <c r="K5">
        <v>85000</v>
      </c>
      <c r="M5">
        <v>147500</v>
      </c>
      <c r="O5" s="5" t="s">
        <v>58</v>
      </c>
      <c r="P5">
        <v>425000</v>
      </c>
    </row>
    <row r="6" spans="1:16" x14ac:dyDescent="0.2">
      <c r="A6" s="5" t="s">
        <v>19</v>
      </c>
      <c r="B6" s="13">
        <v>295000</v>
      </c>
      <c r="E6" s="5" t="s">
        <v>18</v>
      </c>
      <c r="F6">
        <v>3</v>
      </c>
      <c r="H6" s="5" t="s">
        <v>15</v>
      </c>
      <c r="J6">
        <v>175000</v>
      </c>
      <c r="K6">
        <v>90000</v>
      </c>
      <c r="M6">
        <v>146666.66666666666</v>
      </c>
      <c r="O6" s="5" t="s">
        <v>59</v>
      </c>
      <c r="P6">
        <v>85000</v>
      </c>
    </row>
    <row r="7" spans="1:16" x14ac:dyDescent="0.2">
      <c r="A7" s="5" t="s">
        <v>21</v>
      </c>
      <c r="B7" s="13">
        <v>60000</v>
      </c>
      <c r="E7" s="5" t="s">
        <v>20</v>
      </c>
      <c r="F7">
        <v>2</v>
      </c>
      <c r="H7" s="5" t="s">
        <v>17</v>
      </c>
      <c r="I7">
        <v>95000</v>
      </c>
      <c r="J7">
        <v>175000</v>
      </c>
      <c r="K7">
        <v>75000</v>
      </c>
      <c r="M7">
        <v>115000</v>
      </c>
      <c r="O7" s="5" t="s">
        <v>60</v>
      </c>
      <c r="P7">
        <v>305000</v>
      </c>
    </row>
    <row r="8" spans="1:16" x14ac:dyDescent="0.2">
      <c r="A8" s="5" t="s">
        <v>52</v>
      </c>
      <c r="B8" s="13">
        <v>1140000</v>
      </c>
      <c r="E8" s="5" t="s">
        <v>52</v>
      </c>
      <c r="F8">
        <v>10</v>
      </c>
      <c r="H8" s="5" t="s">
        <v>21</v>
      </c>
      <c r="L8">
        <v>60000</v>
      </c>
      <c r="M8">
        <v>60000</v>
      </c>
      <c r="O8" s="5" t="s">
        <v>52</v>
      </c>
      <c r="P8">
        <v>1140000</v>
      </c>
    </row>
    <row r="9" spans="1:16" x14ac:dyDescent="0.2">
      <c r="H9" s="5" t="s">
        <v>52</v>
      </c>
      <c r="I9">
        <v>95000</v>
      </c>
      <c r="J9">
        <v>183750</v>
      </c>
      <c r="K9">
        <v>83333.333333333328</v>
      </c>
      <c r="L9">
        <v>60000</v>
      </c>
      <c r="M9">
        <v>126666.66666666667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51865-3497-4846-9FBF-B61A4AFE8623}">
  <dimension ref="A1:H5"/>
  <sheetViews>
    <sheetView showGridLines="0" tabSelected="1" workbookViewId="0">
      <selection activeCell="O21" sqref="O21"/>
    </sheetView>
  </sheetViews>
  <sheetFormatPr baseColWidth="10" defaultRowHeight="16" x14ac:dyDescent="0.2"/>
  <cols>
    <col min="2" max="2" width="13.1640625" bestFit="1" customWidth="1"/>
  </cols>
  <sheetData>
    <row r="1" spans="1:8" s="10" customFormat="1" ht="25" x14ac:dyDescent="0.25">
      <c r="A1" s="7" t="s">
        <v>61</v>
      </c>
      <c r="B1" s="8"/>
      <c r="C1" s="8"/>
      <c r="D1" s="8"/>
    </row>
    <row r="3" spans="1:8" ht="18" x14ac:dyDescent="0.2">
      <c r="B3" s="11" t="s">
        <v>62</v>
      </c>
      <c r="C3" s="11"/>
      <c r="D3" s="11" t="s">
        <v>63</v>
      </c>
      <c r="E3" s="11"/>
      <c r="F3" s="11" t="s">
        <v>64</v>
      </c>
      <c r="G3" s="11"/>
      <c r="H3" s="11" t="s">
        <v>65</v>
      </c>
    </row>
    <row r="4" spans="1:8" ht="18" x14ac:dyDescent="0.2">
      <c r="B4" s="12">
        <f>SUM(Sales_Data_2!E:E)</f>
        <v>1140000</v>
      </c>
      <c r="C4" s="11"/>
      <c r="D4" s="11">
        <f>COUNTA(Sales_Data_2!A2:A11)</f>
        <v>10</v>
      </c>
      <c r="E4" s="11"/>
      <c r="F4" s="11">
        <f>ROUND(AVERAGE(Sales_Data_2!E2:E11),0)</f>
        <v>126667</v>
      </c>
      <c r="G4" s="11"/>
      <c r="H4" s="11" t="str">
        <f>INDEX(Sales_Pivot!A2:A5, MATCH(MAX(Sales_Pivot!B2:B5), Sales_Pivot!B2:B5, 0))</f>
        <v>North</v>
      </c>
    </row>
    <row r="5" spans="1:8" x14ac:dyDescent="0.2">
      <c r="D5"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AFA1-4DBF-2F4C-84E3-BAFFB9119B92}">
  <dimension ref="A1:T32"/>
  <sheetViews>
    <sheetView zoomScale="117" workbookViewId="0">
      <selection activeCell="I21" sqref="I21"/>
    </sheetView>
  </sheetViews>
  <sheetFormatPr baseColWidth="10" defaultRowHeight="16" x14ac:dyDescent="0.2"/>
  <cols>
    <col min="1" max="1" width="11.6640625" bestFit="1" customWidth="1"/>
    <col min="2" max="2" width="13.6640625" bestFit="1" customWidth="1"/>
    <col min="3" max="3" width="9.33203125" bestFit="1" customWidth="1"/>
    <col min="4" max="4" width="9.83203125" bestFit="1" customWidth="1"/>
    <col min="5" max="5" width="14.5" customWidth="1"/>
    <col min="8" max="8" width="12.33203125" bestFit="1" customWidth="1"/>
    <col min="9" max="9" width="14.83203125" bestFit="1" customWidth="1"/>
    <col min="10" max="10" width="14.1640625" bestFit="1" customWidth="1"/>
    <col min="11" max="11" width="13" bestFit="1" customWidth="1"/>
    <col min="12" max="12" width="16" bestFit="1" customWidth="1"/>
    <col min="13" max="13" width="15.6640625" bestFit="1" customWidth="1"/>
    <col min="14" max="14" width="20.5" bestFit="1" customWidth="1"/>
    <col min="15" max="15" width="20" bestFit="1" customWidth="1"/>
    <col min="16" max="16" width="19" bestFit="1" customWidth="1"/>
    <col min="19" max="19" width="16.83203125" bestFit="1" customWidth="1"/>
    <col min="20" max="20" width="17.1640625" bestFit="1" customWidth="1"/>
  </cols>
  <sheetData>
    <row r="1" spans="1:20" x14ac:dyDescent="0.2">
      <c r="A1" t="s">
        <v>10</v>
      </c>
      <c r="B1" t="s">
        <v>22</v>
      </c>
      <c r="C1" t="s">
        <v>13</v>
      </c>
      <c r="D1" t="s">
        <v>14</v>
      </c>
      <c r="E1" t="s">
        <v>11</v>
      </c>
      <c r="F1" t="s">
        <v>12</v>
      </c>
      <c r="G1" t="s">
        <v>56</v>
      </c>
      <c r="H1" t="s">
        <v>24</v>
      </c>
      <c r="I1" t="s">
        <v>25</v>
      </c>
      <c r="J1" t="s">
        <v>26</v>
      </c>
      <c r="K1" t="s">
        <v>27</v>
      </c>
      <c r="L1" t="s">
        <v>28</v>
      </c>
      <c r="M1" t="s">
        <v>29</v>
      </c>
      <c r="N1" t="s">
        <v>30</v>
      </c>
      <c r="O1" t="s">
        <v>44</v>
      </c>
      <c r="P1" t="s">
        <v>45</v>
      </c>
      <c r="Q1" t="s">
        <v>46</v>
      </c>
      <c r="R1" t="s">
        <v>47</v>
      </c>
      <c r="S1" t="s">
        <v>48</v>
      </c>
      <c r="T1" t="s">
        <v>49</v>
      </c>
    </row>
    <row r="2" spans="1:20" ht="18" x14ac:dyDescent="0.2">
      <c r="A2">
        <v>1</v>
      </c>
      <c r="B2" t="s">
        <v>0</v>
      </c>
      <c r="C2" t="s">
        <v>15</v>
      </c>
      <c r="D2" t="s">
        <v>16</v>
      </c>
      <c r="E2">
        <v>150000</v>
      </c>
      <c r="F2" s="1">
        <v>45292</v>
      </c>
      <c r="G2" s="6" t="str">
        <f>TEXT(F2,"MMM YYYY")</f>
        <v>Jan 2024</v>
      </c>
      <c r="H2" t="s">
        <v>0</v>
      </c>
      <c r="I2" t="s">
        <v>31</v>
      </c>
      <c r="J2">
        <v>150000</v>
      </c>
      <c r="K2" t="s">
        <v>6</v>
      </c>
      <c r="L2" t="s">
        <v>6</v>
      </c>
      <c r="M2">
        <v>400000</v>
      </c>
      <c r="N2">
        <v>3</v>
      </c>
      <c r="O2">
        <f t="shared" ref="O2:O11" si="0">SUMIF($C$2:$C$11, TRIM(C2), $E$2:$E$11)</f>
        <v>440000</v>
      </c>
      <c r="P2">
        <f t="shared" ref="P2:P11" si="1">AVERAGEIF($C$2:$C$11,C2,$E$2:$E$11)</f>
        <v>146666.66666666666</v>
      </c>
      <c r="Q2" t="str">
        <f t="shared" ref="Q2:Q11" si="2">IF(E2&gt;=150000, "High", IF(E2&gt;=75000, "Medium", "Low"))</f>
        <v>High</v>
      </c>
      <c r="R2" t="str" cm="1">
        <f t="array" ref="R2">_xlfn.IFS(MONTH(F2)&lt;=3,"Q1",MONTH(F2)&lt;=6,"Q2",MONTH(F2)&lt;=9,"Q3",MONTH(F2)&lt;=12,"Q4")</f>
        <v>Q1</v>
      </c>
      <c r="S2" s="3" t="str">
        <f t="shared" ref="S2:S11" si="3">IF(B2="","Missing Name",IF(C2="","Missing Region",IF(D2="","Missing product",IF(ISNUMBER(E2)=FALSE,"Not Number",IF(E2&lt;0,"Negative Value!",IF(E2&gt;1000000,"Too High!",IF(F2="","Missing Date","VALID")))))))</f>
        <v>VALID</v>
      </c>
      <c r="T2" s="3" t="str">
        <f>IF(B2="","No Name",IF(COUNTIF($B$2:$B$11,B2)&gt;1,"DUPLICATE!","Unique"))</f>
        <v>DUPLICATE!</v>
      </c>
    </row>
    <row r="3" spans="1:20" ht="18" x14ac:dyDescent="0.2">
      <c r="A3">
        <v>2</v>
      </c>
      <c r="B3" t="s">
        <v>1</v>
      </c>
      <c r="C3" t="s">
        <v>17</v>
      </c>
      <c r="D3" t="s">
        <v>18</v>
      </c>
      <c r="E3">
        <v>75000</v>
      </c>
      <c r="F3" t="s">
        <v>32</v>
      </c>
      <c r="G3" s="6" t="str">
        <f t="shared" ref="G3:G11" si="4">TEXT(F3,"MMM YYYY")</f>
        <v>Jan 2024</v>
      </c>
      <c r="H3" t="s">
        <v>7</v>
      </c>
      <c r="I3" t="s">
        <v>33</v>
      </c>
      <c r="J3">
        <v>75000</v>
      </c>
      <c r="K3" t="s">
        <v>6</v>
      </c>
      <c r="L3" t="s">
        <v>6</v>
      </c>
      <c r="M3">
        <v>300000</v>
      </c>
      <c r="N3">
        <v>3</v>
      </c>
      <c r="O3">
        <f t="shared" si="0"/>
        <v>345000</v>
      </c>
      <c r="P3">
        <f t="shared" si="1"/>
        <v>115000</v>
      </c>
      <c r="Q3" t="str">
        <f t="shared" si="2"/>
        <v>Medium</v>
      </c>
      <c r="R3" t="str" cm="1">
        <f t="array" ref="R3">_xlfn.IFS(MONTH(F3)&lt;=3,"Q1",MONTH(F3)&lt;=6,"Q2",MONTH(F3)&lt;=9,"Q3",MONTH(F3)&lt;=12,"Q4")</f>
        <v>Q1</v>
      </c>
      <c r="S3" s="3" t="str">
        <f t="shared" si="3"/>
        <v>VALID</v>
      </c>
      <c r="T3" s="3" t="str">
        <f t="shared" ref="T3:T11" si="5">IF(B3="","No Name",IF(COUNTIF($B$2:$B$11,B3)&gt;1,"DUPLICATE!","Unique"))</f>
        <v>DUPLICATE!</v>
      </c>
    </row>
    <row r="4" spans="1:20" ht="18" x14ac:dyDescent="0.2">
      <c r="A4">
        <v>3</v>
      </c>
      <c r="B4" t="s">
        <v>2</v>
      </c>
      <c r="C4" t="s">
        <v>15</v>
      </c>
      <c r="D4" t="s">
        <v>16</v>
      </c>
      <c r="E4">
        <v>200000</v>
      </c>
      <c r="F4" t="s">
        <v>34</v>
      </c>
      <c r="G4" s="6" t="str">
        <f t="shared" si="4"/>
        <v>Jan 2024</v>
      </c>
      <c r="H4" t="s">
        <v>8</v>
      </c>
      <c r="I4" t="s">
        <v>31</v>
      </c>
      <c r="J4">
        <v>200000</v>
      </c>
      <c r="K4" t="s">
        <v>6</v>
      </c>
      <c r="L4" t="s">
        <v>6</v>
      </c>
      <c r="M4">
        <v>400000</v>
      </c>
      <c r="N4">
        <v>3</v>
      </c>
      <c r="O4">
        <f t="shared" si="0"/>
        <v>440000</v>
      </c>
      <c r="P4">
        <f t="shared" si="1"/>
        <v>146666.66666666666</v>
      </c>
      <c r="Q4" t="str">
        <f t="shared" si="2"/>
        <v>High</v>
      </c>
      <c r="R4" t="str" cm="1">
        <f t="array" ref="R4">_xlfn.IFS(MONTH(F4)&lt;=3,"Q1",MONTH(F4)&lt;=6,"Q2",MONTH(F4)&lt;=9,"Q3",MONTH(F4)&lt;=12,"Q4")</f>
        <v>Q1</v>
      </c>
      <c r="S4" s="3" t="str">
        <f t="shared" si="3"/>
        <v>VALID</v>
      </c>
      <c r="T4" s="3" t="str">
        <f t="shared" si="5"/>
        <v>Unique</v>
      </c>
    </row>
    <row r="5" spans="1:20" ht="18" x14ac:dyDescent="0.2">
      <c r="A5">
        <v>4</v>
      </c>
      <c r="B5" t="s">
        <v>3</v>
      </c>
      <c r="C5" t="s">
        <v>19</v>
      </c>
      <c r="D5" t="s">
        <v>20</v>
      </c>
      <c r="F5" t="s">
        <v>35</v>
      </c>
      <c r="G5" s="6" t="str">
        <f t="shared" si="4"/>
        <v>Feb 2024</v>
      </c>
      <c r="H5" t="s">
        <v>3</v>
      </c>
      <c r="I5" t="s">
        <v>36</v>
      </c>
      <c r="J5" t="s">
        <v>9</v>
      </c>
      <c r="K5" t="s">
        <v>6</v>
      </c>
      <c r="L5" t="s">
        <v>6</v>
      </c>
      <c r="M5">
        <v>350000</v>
      </c>
      <c r="N5">
        <v>3</v>
      </c>
      <c r="O5">
        <f t="shared" si="0"/>
        <v>295000</v>
      </c>
      <c r="P5">
        <f t="shared" si="1"/>
        <v>147500</v>
      </c>
      <c r="Q5" t="str">
        <f t="shared" si="2"/>
        <v>Low</v>
      </c>
      <c r="R5" t="str" cm="1">
        <f t="array" ref="R5">_xlfn.IFS(MONTH(F5)&lt;=3,"Q1",MONTH(F5)&lt;=6,"Q2",MONTH(F5)&lt;=9,"Q3",MONTH(F5)&lt;=12,"Q4")</f>
        <v>Q1</v>
      </c>
      <c r="S5" s="3" t="str">
        <f t="shared" si="3"/>
        <v>Not Number</v>
      </c>
      <c r="T5" s="3" t="str">
        <f t="shared" si="5"/>
        <v>DUPLICATE!</v>
      </c>
    </row>
    <row r="6" spans="1:20" ht="18" x14ac:dyDescent="0.2">
      <c r="A6">
        <v>5</v>
      </c>
      <c r="B6" t="s">
        <v>37</v>
      </c>
      <c r="C6" t="s">
        <v>15</v>
      </c>
      <c r="D6" t="s">
        <v>18</v>
      </c>
      <c r="E6">
        <v>90000</v>
      </c>
      <c r="F6" t="s">
        <v>38</v>
      </c>
      <c r="G6" s="6" t="str">
        <f t="shared" si="4"/>
        <v>Feb 2024</v>
      </c>
      <c r="H6" t="s">
        <v>0</v>
      </c>
      <c r="I6" t="s">
        <v>31</v>
      </c>
      <c r="J6">
        <v>90000</v>
      </c>
      <c r="K6" t="s">
        <v>6</v>
      </c>
      <c r="L6" t="s">
        <v>6</v>
      </c>
      <c r="M6">
        <v>400000</v>
      </c>
      <c r="N6">
        <v>3</v>
      </c>
      <c r="O6">
        <f t="shared" si="0"/>
        <v>440000</v>
      </c>
      <c r="P6">
        <f t="shared" si="1"/>
        <v>146666.66666666666</v>
      </c>
      <c r="Q6" t="str">
        <f t="shared" si="2"/>
        <v>Medium</v>
      </c>
      <c r="R6" t="str" cm="1">
        <f t="array" ref="R6">_xlfn.IFS(MONTH(F6)&lt;=3,"Q1",MONTH(F6)&lt;=6,"Q2",MONTH(F6)&lt;=9,"Q3",MONTH(F6)&lt;=12,"Q4")</f>
        <v>Q1</v>
      </c>
      <c r="S6" s="3" t="str">
        <f t="shared" si="3"/>
        <v>VALID</v>
      </c>
      <c r="T6" s="3" t="str">
        <f t="shared" si="5"/>
        <v>DUPLICATE!</v>
      </c>
    </row>
    <row r="7" spans="1:20" ht="18" x14ac:dyDescent="0.2">
      <c r="A7">
        <v>6</v>
      </c>
      <c r="C7" t="s">
        <v>17</v>
      </c>
      <c r="D7" t="s">
        <v>16</v>
      </c>
      <c r="E7">
        <v>175000</v>
      </c>
      <c r="F7" t="s">
        <v>39</v>
      </c>
      <c r="G7" s="6" t="str">
        <f t="shared" si="4"/>
        <v>Feb 2024</v>
      </c>
      <c r="H7" t="s">
        <v>9</v>
      </c>
      <c r="I7" t="s">
        <v>33</v>
      </c>
      <c r="J7">
        <v>175000</v>
      </c>
      <c r="K7" t="s">
        <v>9</v>
      </c>
      <c r="L7" t="s">
        <v>6</v>
      </c>
      <c r="M7">
        <v>300000</v>
      </c>
      <c r="N7">
        <v>3</v>
      </c>
      <c r="O7">
        <f t="shared" si="0"/>
        <v>345000</v>
      </c>
      <c r="P7">
        <f t="shared" si="1"/>
        <v>115000</v>
      </c>
      <c r="Q7" t="str">
        <f t="shared" si="2"/>
        <v>High</v>
      </c>
      <c r="R7" t="str" cm="1">
        <f t="array" ref="R7">_xlfn.IFS(MONTH(F7)&lt;=3,"Q1",MONTH(F7)&lt;=6,"Q2",MONTH(F7)&lt;=9,"Q3",MONTH(F7)&lt;=12,"Q4")</f>
        <v>Q1</v>
      </c>
      <c r="S7" s="3" t="str">
        <f t="shared" si="3"/>
        <v>Missing Name</v>
      </c>
      <c r="T7" s="3" t="str">
        <f t="shared" si="5"/>
        <v>No Name</v>
      </c>
    </row>
    <row r="8" spans="1:20" ht="18" x14ac:dyDescent="0.2">
      <c r="A8">
        <v>7</v>
      </c>
      <c r="B8" t="s">
        <v>4</v>
      </c>
      <c r="C8" t="s">
        <v>21</v>
      </c>
      <c r="D8" t="s">
        <v>20</v>
      </c>
      <c r="E8">
        <v>60000</v>
      </c>
      <c r="F8" t="s">
        <v>40</v>
      </c>
      <c r="G8" s="6" t="str">
        <f t="shared" si="4"/>
        <v>Feb 2024</v>
      </c>
      <c r="H8" t="s">
        <v>4</v>
      </c>
      <c r="I8" t="s">
        <v>41</v>
      </c>
      <c r="J8">
        <v>60000</v>
      </c>
      <c r="K8" t="s">
        <v>6</v>
      </c>
      <c r="L8" t="s">
        <v>6</v>
      </c>
      <c r="M8">
        <v>200000</v>
      </c>
      <c r="N8">
        <v>1</v>
      </c>
      <c r="O8">
        <f t="shared" si="0"/>
        <v>60000</v>
      </c>
      <c r="P8">
        <f t="shared" si="1"/>
        <v>60000</v>
      </c>
      <c r="Q8" t="str">
        <f t="shared" si="2"/>
        <v>Low</v>
      </c>
      <c r="R8" t="str" cm="1">
        <f t="array" ref="R8">_xlfn.IFS(MONTH(F8)&lt;=3,"Q1",MONTH(F8)&lt;=6,"Q2",MONTH(F8)&lt;=9,"Q3",MONTH(F8)&lt;=12,"Q4")</f>
        <v>Q1</v>
      </c>
      <c r="S8" s="3" t="str">
        <f t="shared" si="3"/>
        <v>VALID</v>
      </c>
      <c r="T8" s="3" t="str">
        <f t="shared" si="5"/>
        <v>Unique</v>
      </c>
    </row>
    <row r="9" spans="1:20" ht="18" x14ac:dyDescent="0.2">
      <c r="A9">
        <v>8</v>
      </c>
      <c r="B9" t="s">
        <v>5</v>
      </c>
      <c r="C9" t="s">
        <v>19</v>
      </c>
      <c r="D9" t="s">
        <v>18</v>
      </c>
      <c r="E9">
        <v>85000</v>
      </c>
      <c r="F9" s="1">
        <v>45444</v>
      </c>
      <c r="G9" s="6" t="str">
        <f t="shared" si="4"/>
        <v>Jun 2024</v>
      </c>
      <c r="H9" t="s">
        <v>5</v>
      </c>
      <c r="I9" t="s">
        <v>36</v>
      </c>
      <c r="J9">
        <v>85000</v>
      </c>
      <c r="K9" t="s">
        <v>6</v>
      </c>
      <c r="L9" t="s">
        <v>6</v>
      </c>
      <c r="M9">
        <v>350000</v>
      </c>
      <c r="N9">
        <v>3</v>
      </c>
      <c r="O9">
        <f t="shared" si="0"/>
        <v>295000</v>
      </c>
      <c r="P9">
        <f t="shared" si="1"/>
        <v>147500</v>
      </c>
      <c r="Q9" t="str">
        <f t="shared" si="2"/>
        <v>Medium</v>
      </c>
      <c r="R9" t="str" cm="1">
        <f t="array" ref="R9">_xlfn.IFS(MONTH(F9)&lt;=3,"Q1",MONTH(F9)&lt;=6,"Q2",MONTH(F9)&lt;=9,"Q3",MONTH(F9)&lt;=12,"Q4")</f>
        <v>Q2</v>
      </c>
      <c r="S9" s="3" t="str">
        <f t="shared" si="3"/>
        <v>VALID</v>
      </c>
      <c r="T9" s="3" t="str">
        <f t="shared" si="5"/>
        <v>Unique</v>
      </c>
    </row>
    <row r="10" spans="1:20" ht="18" x14ac:dyDescent="0.2">
      <c r="A10">
        <v>9</v>
      </c>
      <c r="B10" t="s">
        <v>3</v>
      </c>
      <c r="C10" t="s">
        <v>19</v>
      </c>
      <c r="D10" t="s">
        <v>16</v>
      </c>
      <c r="E10">
        <v>210000</v>
      </c>
      <c r="F10" t="s">
        <v>42</v>
      </c>
      <c r="G10" s="6" t="str">
        <f t="shared" si="4"/>
        <v>Mar 2024</v>
      </c>
      <c r="H10" t="s">
        <v>3</v>
      </c>
      <c r="I10" t="s">
        <v>36</v>
      </c>
      <c r="J10">
        <v>210000</v>
      </c>
      <c r="K10" t="s">
        <v>6</v>
      </c>
      <c r="L10" t="s">
        <v>6</v>
      </c>
      <c r="M10">
        <v>350000</v>
      </c>
      <c r="N10">
        <v>3</v>
      </c>
      <c r="O10">
        <f t="shared" si="0"/>
        <v>295000</v>
      </c>
      <c r="P10">
        <f t="shared" si="1"/>
        <v>147500</v>
      </c>
      <c r="Q10" t="str">
        <f t="shared" si="2"/>
        <v>High</v>
      </c>
      <c r="R10" t="str" cm="1">
        <f t="array" ref="R10">_xlfn.IFS(MONTH(F10)&lt;=3,"Q1",MONTH(F10)&lt;=6,"Q2",MONTH(F10)&lt;=9,"Q3",MONTH(F10)&lt;=12,"Q4")</f>
        <v>Q1</v>
      </c>
      <c r="S10" s="3" t="str">
        <f t="shared" si="3"/>
        <v>VALID</v>
      </c>
      <c r="T10" s="3" t="str">
        <f t="shared" si="5"/>
        <v>DUPLICATE!</v>
      </c>
    </row>
    <row r="11" spans="1:20" ht="18" x14ac:dyDescent="0.2">
      <c r="A11">
        <v>10</v>
      </c>
      <c r="B11" t="s">
        <v>1</v>
      </c>
      <c r="C11" t="s">
        <v>17</v>
      </c>
      <c r="E11">
        <v>95000</v>
      </c>
      <c r="F11" t="s">
        <v>43</v>
      </c>
      <c r="G11" s="6" t="str">
        <f t="shared" si="4"/>
        <v>Mar 2024</v>
      </c>
      <c r="H11" t="s">
        <v>7</v>
      </c>
      <c r="I11" t="s">
        <v>33</v>
      </c>
      <c r="J11">
        <v>95000</v>
      </c>
      <c r="K11" t="s">
        <v>6</v>
      </c>
      <c r="L11" t="s">
        <v>9</v>
      </c>
      <c r="M11">
        <v>300000</v>
      </c>
      <c r="N11">
        <v>3</v>
      </c>
      <c r="O11">
        <f t="shared" si="0"/>
        <v>345000</v>
      </c>
      <c r="P11">
        <f t="shared" si="1"/>
        <v>115000</v>
      </c>
      <c r="Q11" t="str">
        <f t="shared" si="2"/>
        <v>Medium</v>
      </c>
      <c r="R11" t="str" cm="1">
        <f t="array" ref="R11">_xlfn.IFS(MONTH(F11)&lt;=3,"Q1",MONTH(F11)&lt;=6,"Q2",MONTH(F11)&lt;=9,"Q3",MONTH(F11)&lt;=12,"Q4")</f>
        <v>Q1</v>
      </c>
      <c r="S11" s="3" t="str">
        <f t="shared" si="3"/>
        <v>Missing product</v>
      </c>
      <c r="T11" s="3" t="str">
        <f t="shared" si="5"/>
        <v>DUPLICATE!</v>
      </c>
    </row>
    <row r="32" spans="10:10" x14ac:dyDescent="0.2">
      <c r="J32" s="2"/>
    </row>
  </sheetData>
  <conditionalFormatting sqref="H2:T11">
    <cfRule type="containsBlanks" dxfId="25" priority="20">
      <formula>LEN(TRIM(H2))=0</formula>
    </cfRule>
  </conditionalFormatting>
  <conditionalFormatting sqref="H2:T11">
    <cfRule type="cellIs" dxfId="24" priority="16" operator="equal">
      <formula>"Missing"</formula>
    </cfRule>
  </conditionalFormatting>
  <conditionalFormatting sqref="H7">
    <cfRule type="cellIs" dxfId="23" priority="12" operator="equal">
      <formula>"Missing"</formula>
    </cfRule>
  </conditionalFormatting>
  <conditionalFormatting sqref="J2:J11">
    <cfRule type="cellIs" dxfId="22" priority="17" operator="equal">
      <formula>"Missing"</formula>
    </cfRule>
  </conditionalFormatting>
  <conditionalFormatting sqref="Q1:Q1048576">
    <cfRule type="cellIs" dxfId="21" priority="19" operator="equal">
      <formula>"High"</formula>
    </cfRule>
  </conditionalFormatting>
  <conditionalFormatting sqref="S5">
    <cfRule type="containsBlanks" dxfId="20" priority="21">
      <formula>LEN(TRIM(S5))=0</formula>
    </cfRule>
    <cfRule type="containsText" dxfId="19" priority="22" operator="containsText" text="Missing Name">
      <formula>NOT(ISERROR(SEARCH("Missing Name",S5)))</formula>
    </cfRule>
  </conditionalFormatting>
  <conditionalFormatting sqref="A2:G11">
    <cfRule type="containsBlanks" dxfId="17" priority="7">
      <formula>LEN(TRIM(A2))=0</formula>
    </cfRule>
    <cfRule type="expression" dxfId="16" priority="3">
      <formula>$C2="North"</formula>
    </cfRule>
  </conditionalFormatting>
  <conditionalFormatting sqref="B2:B11">
    <cfRule type="duplicateValues" dxfId="15" priority="6"/>
  </conditionalFormatting>
  <conditionalFormatting sqref="E2:E11">
    <cfRule type="top10" dxfId="1" priority="5" rank="3"/>
    <cfRule type="expression" dxfId="0" priority="4">
      <formula>E2&gt;AVERAGE($E$2:$E$11)</formula>
    </cfRule>
    <cfRule type="dataBar" priority="2">
      <dataBar>
        <cfvo type="min"/>
        <cfvo type="max"/>
        <color rgb="FF638EC6"/>
      </dataBar>
      <extLst>
        <ext xmlns:x14="http://schemas.microsoft.com/office/spreadsheetml/2009/9/main" uri="{B025F937-C7B1-47D3-B67F-A62EFF666E3E}">
          <x14:id>{C4BFBD8F-8A79-D24D-990B-5F88B11AE031}</x14:id>
        </ext>
      </extLst>
    </cfRule>
    <cfRule type="iconSet" priority="1">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8" operator="containsText" id="{686D9C8F-6DC2-994D-A2B9-0AF6C4D5F6CB}">
            <xm:f>NOT(ISERROR(SEARCH($B2="",A2)))</xm:f>
            <xm:f>$B2=""</xm:f>
            <x14:dxf>
              <font>
                <color rgb="FF9C0006"/>
              </font>
              <fill>
                <patternFill>
                  <bgColor rgb="FFFFC7CE"/>
                </patternFill>
              </fill>
            </x14:dxf>
          </x14:cfRule>
          <xm:sqref>A2:G11</xm:sqref>
        </x14:conditionalFormatting>
        <x14:conditionalFormatting xmlns:xm="http://schemas.microsoft.com/office/excel/2006/main">
          <x14:cfRule type="dataBar" id="{C4BFBD8F-8A79-D24D-990B-5F88B11AE031}">
            <x14:dataBar minLength="0" maxLength="100" border="1" negativeBarBorderColorSameAsPositive="0">
              <x14:cfvo type="autoMin"/>
              <x14:cfvo type="autoMax"/>
              <x14:borderColor rgb="FF638EC6"/>
              <x14:negativeFillColor rgb="FFFF0000"/>
              <x14:negativeBorderColor rgb="FFFF0000"/>
              <x14:axisColor rgb="FF000000"/>
            </x14:dataBar>
          </x14:cfRule>
          <xm:sqref>E2:E11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8F9DB-66AE-4946-8A11-4E6EDBF51F9A}">
  <dimension ref="A1:B5"/>
  <sheetViews>
    <sheetView workbookViewId="0">
      <selection sqref="A1:B5"/>
    </sheetView>
  </sheetViews>
  <sheetFormatPr baseColWidth="10" defaultRowHeight="16" x14ac:dyDescent="0.2"/>
  <sheetData>
    <row r="1" spans="1:2" x14ac:dyDescent="0.2">
      <c r="A1" t="s">
        <v>13</v>
      </c>
      <c r="B1" t="s">
        <v>23</v>
      </c>
    </row>
    <row r="2" spans="1:2" x14ac:dyDescent="0.2">
      <c r="A2" t="s">
        <v>15</v>
      </c>
      <c r="B2">
        <v>400000</v>
      </c>
    </row>
    <row r="3" spans="1:2" x14ac:dyDescent="0.2">
      <c r="A3" t="s">
        <v>17</v>
      </c>
      <c r="B3">
        <v>300000</v>
      </c>
    </row>
    <row r="4" spans="1:2" x14ac:dyDescent="0.2">
      <c r="A4" t="s">
        <v>19</v>
      </c>
      <c r="B4">
        <v>350000</v>
      </c>
    </row>
    <row r="5" spans="1:2" x14ac:dyDescent="0.2">
      <c r="A5" t="s">
        <v>21</v>
      </c>
      <c r="B5">
        <v>200000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1BFD8D-8438-6540-A82B-5753651656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Sales_Pivot</vt:lpstr>
      <vt:lpstr>Dashboard</vt:lpstr>
      <vt:lpstr>Sales_Data_2</vt:lpstr>
      <vt:lpstr>Region_Target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Bilal Raza | Senior Project Manager | Project Management</dc:creator>
  <cp:lastModifiedBy>Bilal Raza | Senior Project Manager | Project Manageme</cp:lastModifiedBy>
  <dcterms:created xsi:type="dcterms:W3CDTF">2026-05-15T23:14:41Z</dcterms:created>
  <dcterms:modified xsi:type="dcterms:W3CDTF">2026-06-10T21:49:22Z</dcterms:modified>
</cp:coreProperties>
</file>